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70" windowWidth="18915" windowHeight="8325" tabRatio="869" activeTab="2"/>
  </bookViews>
  <sheets>
    <sheet name="Accueil" sheetId="1" r:id="rId1"/>
    <sheet name="ListeImmos" sheetId="5" r:id="rId2"/>
    <sheet name="Matériel informatique" sheetId="34" r:id="rId3"/>
    <sheet name="Exercice dcg" sheetId="35" r:id="rId4"/>
  </sheets>
  <functionGroups builtInGroupCount="17"/>
  <definedNames>
    <definedName name="_xlnm.Print_Area" localSheetId="2">'Matériel informatique'!$C$1:$L$18</definedName>
  </definedNames>
  <calcPr calcId="145621"/>
</workbook>
</file>

<file path=xl/calcChain.xml><?xml version="1.0" encoding="utf-8"?>
<calcChain xmlns="http://schemas.openxmlformats.org/spreadsheetml/2006/main">
  <c r="K25" i="35" l="1"/>
  <c r="J25" i="35"/>
  <c r="K18" i="35"/>
  <c r="K19" i="35"/>
  <c r="K20" i="35"/>
  <c r="K21" i="35"/>
  <c r="K22" i="35"/>
  <c r="K23" i="35"/>
  <c r="K24" i="35"/>
  <c r="K17" i="35"/>
  <c r="J13" i="35"/>
  <c r="J14" i="35"/>
  <c r="J15" i="35"/>
  <c r="J16" i="35"/>
  <c r="J12" i="35"/>
  <c r="I14" i="35"/>
  <c r="I15" i="35"/>
  <c r="I16" i="35"/>
  <c r="I17" i="35"/>
  <c r="I18" i="35"/>
  <c r="I19" i="35"/>
  <c r="I20" i="35"/>
  <c r="I21" i="35"/>
  <c r="I22" i="35"/>
  <c r="I23" i="35"/>
  <c r="I24" i="35"/>
  <c r="I13" i="35"/>
  <c r="I12" i="35"/>
  <c r="H24" i="35"/>
  <c r="H14" i="35"/>
  <c r="H15" i="35"/>
  <c r="H16" i="35"/>
  <c r="H17" i="35"/>
  <c r="H18" i="35"/>
  <c r="H19" i="35"/>
  <c r="H20" i="35"/>
  <c r="H21" i="35"/>
  <c r="H22" i="35"/>
  <c r="H23" i="35"/>
  <c r="H13" i="35"/>
  <c r="H12" i="35"/>
</calcChain>
</file>

<file path=xl/sharedStrings.xml><?xml version="1.0" encoding="utf-8"?>
<sst xmlns="http://schemas.openxmlformats.org/spreadsheetml/2006/main" count="63" uniqueCount="32">
  <si>
    <t>Mode d'amortissement</t>
  </si>
  <si>
    <t>Modes d'amortissement</t>
  </si>
  <si>
    <t>Linéaire</t>
  </si>
  <si>
    <t>Dégressif</t>
  </si>
  <si>
    <t>Exceptionnel</t>
  </si>
  <si>
    <t>Coefficients d'amortissement dégressif</t>
  </si>
  <si>
    <t>3 ou 4 ans</t>
  </si>
  <si>
    <t>5 ou 6 ans</t>
  </si>
  <si>
    <t>&gt; 6 ans</t>
  </si>
  <si>
    <t>Identification</t>
  </si>
  <si>
    <t>Montant acquisition</t>
  </si>
  <si>
    <t>Valeur résiduelle</t>
  </si>
  <si>
    <t>Compte</t>
  </si>
  <si>
    <t>Liste des immobilisations</t>
  </si>
  <si>
    <t>Durée (années) amortissement</t>
  </si>
  <si>
    <t>Mise en service</t>
  </si>
  <si>
    <t>Achat</t>
  </si>
  <si>
    <t>Plan d'amortissement</t>
  </si>
  <si>
    <t>Valeur achat</t>
  </si>
  <si>
    <t>Mode amortissement</t>
  </si>
  <si>
    <t>Durée</t>
  </si>
  <si>
    <t>Amortissement fiscal dégressif</t>
  </si>
  <si>
    <t>Amortissement comptable</t>
  </si>
  <si>
    <t>Base</t>
  </si>
  <si>
    <t>Annuité</t>
  </si>
  <si>
    <t>Cumul</t>
  </si>
  <si>
    <t>Dotation</t>
  </si>
  <si>
    <t>Reprise</t>
  </si>
  <si>
    <t>Matériel informatique</t>
  </si>
  <si>
    <t>8613,37</t>
  </si>
  <si>
    <t>Dérogatoire</t>
  </si>
  <si>
    <t>Exercice dcg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</si>
</sst>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€_-;\-* #,##0.00\ _€_-;_-* &quot;-&quot;??\ _€_-;_-@_-"/>
  </numFmts>
  <fonts count="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3" borderId="0" xfId="0" applyFill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4" fontId="4" fillId="0" borderId="0" xfId="0" applyNumberFormat="1" applyFont="1" applyAlignment="1">
      <alignment horizontal="right"/>
    </xf>
    <xf numFmtId="4" fontId="0" fillId="0" borderId="0" xfId="1" applyNumberFormat="1" applyFont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4" fontId="0" fillId="0" borderId="0" xfId="0" applyNumberFormat="1"/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419100</xdr:colOff>
          <xdr:row>4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Créer une Immobilisation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295275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Générer un plan d'amortissement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3:C11"/>
  <sheetViews>
    <sheetView workbookViewId="0">
      <selection activeCell="B13" sqref="B13"/>
    </sheetView>
  </sheetViews>
  <sheetFormatPr baseColWidth="10" defaultRowHeight="15" x14ac:dyDescent="0.25"/>
  <sheetData>
    <row r="3" spans="2:3" x14ac:dyDescent="0.25">
      <c r="B3" t="s">
        <v>1</v>
      </c>
    </row>
    <row r="4" spans="2:3" x14ac:dyDescent="0.25">
      <c r="B4" t="s">
        <v>2</v>
      </c>
    </row>
    <row r="5" spans="2:3" x14ac:dyDescent="0.25">
      <c r="B5" t="s">
        <v>3</v>
      </c>
    </row>
    <row r="6" spans="2:3" x14ac:dyDescent="0.25">
      <c r="B6" t="s">
        <v>4</v>
      </c>
    </row>
    <row r="8" spans="2:3" x14ac:dyDescent="0.25">
      <c r="B8" t="s">
        <v>5</v>
      </c>
    </row>
    <row r="9" spans="2:3" x14ac:dyDescent="0.25">
      <c r="B9" t="s">
        <v>6</v>
      </c>
      <c r="C9">
        <v>1.75</v>
      </c>
    </row>
    <row r="10" spans="2:3" x14ac:dyDescent="0.25">
      <c r="B10" t="s">
        <v>7</v>
      </c>
      <c r="C10">
        <v>2.25</v>
      </c>
    </row>
    <row r="11" spans="2:3" x14ac:dyDescent="0.25">
      <c r="B11" t="s">
        <v>8</v>
      </c>
      <c r="C11">
        <v>2.75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ionImmo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L114"/>
  <sheetViews>
    <sheetView workbookViewId="0">
      <selection activeCell="F13" sqref="F13"/>
    </sheetView>
  </sheetViews>
  <sheetFormatPr baseColWidth="10" defaultRowHeight="15" x14ac:dyDescent="0.25"/>
  <cols>
    <col min="2" max="3" width="2.28515625" customWidth="1"/>
    <col min="4" max="4" width="23.42578125" customWidth="1"/>
    <col min="5" max="5" width="16" customWidth="1"/>
    <col min="6" max="6" width="13" customWidth="1"/>
    <col min="7" max="7" width="11.85546875" bestFit="1" customWidth="1"/>
    <col min="10" max="10" width="16.140625" customWidth="1"/>
    <col min="11" max="11" width="14.42578125" customWidth="1"/>
  </cols>
  <sheetData>
    <row r="1" spans="2:12" ht="24.75" customHeight="1" x14ac:dyDescent="0.25">
      <c r="B1" s="2"/>
      <c r="C1" s="11" t="s">
        <v>13</v>
      </c>
      <c r="D1" s="12"/>
      <c r="E1" s="12"/>
      <c r="F1" s="12"/>
      <c r="G1" s="12"/>
      <c r="H1" s="12"/>
      <c r="I1" s="12"/>
      <c r="J1" s="12"/>
      <c r="K1" s="12"/>
    </row>
    <row r="2" spans="2:12" x14ac:dyDescent="0.25">
      <c r="B2" s="2"/>
    </row>
    <row r="3" spans="2:12" ht="45" customHeight="1" x14ac:dyDescent="0.25">
      <c r="B3" s="2"/>
      <c r="D3" s="3" t="s">
        <v>9</v>
      </c>
      <c r="E3" s="3" t="s">
        <v>12</v>
      </c>
      <c r="F3" s="3" t="s">
        <v>10</v>
      </c>
      <c r="G3" s="3" t="s">
        <v>11</v>
      </c>
      <c r="H3" s="3" t="s">
        <v>16</v>
      </c>
      <c r="I3" s="3" t="s">
        <v>15</v>
      </c>
      <c r="J3" s="3" t="s">
        <v>0</v>
      </c>
      <c r="K3" s="3" t="s">
        <v>14</v>
      </c>
      <c r="L3" s="1"/>
    </row>
    <row r="4" spans="2:12" x14ac:dyDescent="0.25">
      <c r="D4" t="s">
        <v>28</v>
      </c>
      <c r="E4" s="5">
        <v>2183</v>
      </c>
      <c r="F4" s="10" t="s">
        <v>29</v>
      </c>
      <c r="G4" s="10">
        <v>0</v>
      </c>
      <c r="H4" s="6">
        <v>40713</v>
      </c>
      <c r="I4" s="6">
        <v>40719</v>
      </c>
      <c r="J4" s="5" t="s">
        <v>3</v>
      </c>
      <c r="K4" s="5">
        <v>5</v>
      </c>
    </row>
    <row r="5" spans="2:12" x14ac:dyDescent="0.25">
      <c r="D5" t="s">
        <v>31</v>
      </c>
      <c r="E5" s="5">
        <v>2154</v>
      </c>
      <c r="F5" s="10">
        <v>1200000</v>
      </c>
      <c r="G5" s="10">
        <v>0</v>
      </c>
      <c r="H5" s="6">
        <v>36617</v>
      </c>
      <c r="I5" s="6">
        <v>36617</v>
      </c>
      <c r="J5" s="5" t="s">
        <v>3</v>
      </c>
      <c r="K5" s="5">
        <v>10</v>
      </c>
    </row>
    <row r="6" spans="2:12" x14ac:dyDescent="0.25">
      <c r="D6" s="5"/>
      <c r="I6" s="4"/>
    </row>
    <row r="7" spans="2:12" x14ac:dyDescent="0.25">
      <c r="D7" s="5"/>
      <c r="E7" s="5"/>
      <c r="F7" s="5"/>
      <c r="G7" s="5"/>
      <c r="H7" s="5"/>
      <c r="I7" s="6"/>
      <c r="J7" s="5"/>
      <c r="K7" s="5"/>
    </row>
    <row r="8" spans="2:12" x14ac:dyDescent="0.25">
      <c r="I8" s="4"/>
    </row>
    <row r="9" spans="2:12" x14ac:dyDescent="0.25">
      <c r="I9" s="4"/>
    </row>
    <row r="10" spans="2:12" x14ac:dyDescent="0.25">
      <c r="D10" s="5"/>
      <c r="I10" s="4"/>
    </row>
    <row r="11" spans="2:12" x14ac:dyDescent="0.25">
      <c r="D11" s="5"/>
      <c r="E11" s="5"/>
      <c r="F11" s="5"/>
      <c r="G11" s="5"/>
      <c r="H11" s="5"/>
      <c r="I11" s="6"/>
      <c r="J11" s="5"/>
      <c r="K11" s="5"/>
    </row>
    <row r="12" spans="2:12" x14ac:dyDescent="0.25">
      <c r="I12" s="4"/>
    </row>
    <row r="13" spans="2:12" x14ac:dyDescent="0.25">
      <c r="I13" s="4"/>
    </row>
    <row r="14" spans="2:12" x14ac:dyDescent="0.25">
      <c r="D14" s="5"/>
      <c r="I14" s="4"/>
    </row>
    <row r="15" spans="2:12" x14ac:dyDescent="0.25">
      <c r="D15" s="5"/>
      <c r="E15" s="5"/>
      <c r="F15" s="5"/>
      <c r="G15" s="5"/>
      <c r="H15" s="5"/>
      <c r="I15" s="6"/>
      <c r="J15" s="5"/>
      <c r="K15" s="5"/>
    </row>
    <row r="16" spans="2:12" x14ac:dyDescent="0.25">
      <c r="I16" s="4"/>
    </row>
    <row r="17" spans="4:11" x14ac:dyDescent="0.25">
      <c r="I17" s="4"/>
    </row>
    <row r="18" spans="4:11" x14ac:dyDescent="0.25">
      <c r="D18" s="5"/>
      <c r="I18" s="4"/>
    </row>
    <row r="19" spans="4:11" x14ac:dyDescent="0.25">
      <c r="D19" s="5"/>
      <c r="E19" s="5"/>
      <c r="F19" s="5"/>
      <c r="G19" s="5"/>
      <c r="H19" s="5"/>
      <c r="I19" s="6"/>
      <c r="J19" s="5"/>
      <c r="K19" s="5"/>
    </row>
    <row r="20" spans="4:11" x14ac:dyDescent="0.25">
      <c r="I20" s="4"/>
    </row>
    <row r="21" spans="4:11" x14ac:dyDescent="0.25">
      <c r="I21" s="4"/>
    </row>
    <row r="22" spans="4:11" x14ac:dyDescent="0.25">
      <c r="D22" s="5"/>
      <c r="I22" s="4"/>
    </row>
    <row r="23" spans="4:11" x14ac:dyDescent="0.25">
      <c r="D23" s="5"/>
      <c r="E23" s="5"/>
      <c r="F23" s="5"/>
      <c r="G23" s="5"/>
      <c r="H23" s="5"/>
      <c r="I23" s="6"/>
      <c r="J23" s="5"/>
      <c r="K23" s="5"/>
    </row>
    <row r="24" spans="4:11" x14ac:dyDescent="0.25">
      <c r="I24" s="4"/>
    </row>
    <row r="25" spans="4:11" x14ac:dyDescent="0.25">
      <c r="I25" s="4"/>
    </row>
    <row r="26" spans="4:11" x14ac:dyDescent="0.25">
      <c r="D26" s="5"/>
      <c r="I26" s="4"/>
    </row>
    <row r="27" spans="4:11" x14ac:dyDescent="0.25">
      <c r="D27" s="5"/>
      <c r="E27" s="5"/>
      <c r="F27" s="5"/>
      <c r="G27" s="5"/>
      <c r="H27" s="5"/>
      <c r="I27" s="6"/>
      <c r="J27" s="5"/>
      <c r="K27" s="5"/>
    </row>
    <row r="28" spans="4:11" x14ac:dyDescent="0.25">
      <c r="I28" s="4"/>
    </row>
    <row r="29" spans="4:11" x14ac:dyDescent="0.25">
      <c r="I29" s="4"/>
    </row>
    <row r="30" spans="4:11" x14ac:dyDescent="0.25">
      <c r="D30" s="5"/>
      <c r="I30" s="4"/>
    </row>
    <row r="31" spans="4:11" x14ac:dyDescent="0.25">
      <c r="D31" s="5"/>
      <c r="E31" s="5"/>
      <c r="F31" s="5"/>
      <c r="G31" s="5"/>
      <c r="H31" s="5"/>
      <c r="I31" s="6"/>
      <c r="J31" s="5"/>
      <c r="K31" s="5"/>
    </row>
    <row r="32" spans="4:11" x14ac:dyDescent="0.25">
      <c r="I32" s="4"/>
    </row>
    <row r="33" spans="4:11" x14ac:dyDescent="0.25">
      <c r="I33" s="4"/>
    </row>
    <row r="34" spans="4:11" x14ac:dyDescent="0.25">
      <c r="D34" s="5"/>
      <c r="I34" s="4"/>
    </row>
    <row r="35" spans="4:11" x14ac:dyDescent="0.25">
      <c r="D35" s="5"/>
      <c r="E35" s="5"/>
      <c r="F35" s="5"/>
      <c r="G35" s="5"/>
      <c r="H35" s="5"/>
      <c r="I35" s="6"/>
      <c r="J35" s="5"/>
      <c r="K35" s="5"/>
    </row>
    <row r="36" spans="4:11" x14ac:dyDescent="0.25">
      <c r="I36" s="4"/>
    </row>
    <row r="37" spans="4:11" x14ac:dyDescent="0.25">
      <c r="I37" s="4"/>
    </row>
    <row r="38" spans="4:11" x14ac:dyDescent="0.25">
      <c r="D38" s="5"/>
      <c r="I38" s="4"/>
    </row>
    <row r="39" spans="4:11" x14ac:dyDescent="0.25">
      <c r="D39" s="5"/>
      <c r="E39" s="5"/>
      <c r="F39" s="5"/>
      <c r="G39" s="5"/>
      <c r="H39" s="5"/>
      <c r="I39" s="6"/>
      <c r="J39" s="5"/>
      <c r="K39" s="5"/>
    </row>
    <row r="40" spans="4:11" x14ac:dyDescent="0.25">
      <c r="I40" s="4"/>
    </row>
    <row r="41" spans="4:11" x14ac:dyDescent="0.25">
      <c r="I41" s="4"/>
    </row>
    <row r="42" spans="4:11" x14ac:dyDescent="0.25">
      <c r="D42" s="5"/>
      <c r="I42" s="4"/>
    </row>
    <row r="43" spans="4:11" x14ac:dyDescent="0.25">
      <c r="D43" s="5"/>
      <c r="E43" s="5"/>
      <c r="F43" s="5"/>
      <c r="G43" s="5"/>
      <c r="H43" s="5"/>
      <c r="I43" s="6"/>
      <c r="J43" s="5"/>
      <c r="K43" s="5"/>
    </row>
    <row r="44" spans="4:11" x14ac:dyDescent="0.25">
      <c r="I44" s="4"/>
    </row>
    <row r="45" spans="4:11" x14ac:dyDescent="0.25">
      <c r="I45" s="4"/>
    </row>
    <row r="46" spans="4:11" x14ac:dyDescent="0.25">
      <c r="D46" s="5"/>
      <c r="I46" s="4"/>
    </row>
    <row r="47" spans="4:11" x14ac:dyDescent="0.25">
      <c r="D47" s="5"/>
      <c r="E47" s="5"/>
      <c r="F47" s="5"/>
      <c r="G47" s="5"/>
      <c r="H47" s="5"/>
      <c r="I47" s="6"/>
      <c r="J47" s="5"/>
      <c r="K47" s="5"/>
    </row>
    <row r="48" spans="4:11" x14ac:dyDescent="0.25">
      <c r="I48" s="4"/>
    </row>
    <row r="49" spans="4:11" x14ac:dyDescent="0.25">
      <c r="I49" s="4"/>
    </row>
    <row r="50" spans="4:11" x14ac:dyDescent="0.25">
      <c r="D50" s="5"/>
      <c r="I50" s="4"/>
    </row>
    <row r="51" spans="4:11" x14ac:dyDescent="0.25">
      <c r="D51" s="5"/>
      <c r="E51" s="5"/>
      <c r="F51" s="5"/>
      <c r="G51" s="5"/>
      <c r="H51" s="5"/>
      <c r="I51" s="6"/>
      <c r="J51" s="5"/>
      <c r="K51" s="5"/>
    </row>
    <row r="52" spans="4:11" x14ac:dyDescent="0.25">
      <c r="I52" s="4"/>
    </row>
    <row r="53" spans="4:11" x14ac:dyDescent="0.25">
      <c r="I53" s="4"/>
    </row>
    <row r="54" spans="4:11" x14ac:dyDescent="0.25">
      <c r="D54" s="5"/>
      <c r="I54" s="4"/>
    </row>
    <row r="55" spans="4:11" x14ac:dyDescent="0.25">
      <c r="D55" s="5"/>
      <c r="E55" s="5"/>
      <c r="F55" s="5"/>
      <c r="G55" s="5"/>
      <c r="H55" s="5"/>
      <c r="I55" s="6"/>
      <c r="J55" s="5"/>
      <c r="K55" s="5"/>
    </row>
    <row r="56" spans="4:11" x14ac:dyDescent="0.25">
      <c r="I56" s="4"/>
    </row>
    <row r="57" spans="4:11" x14ac:dyDescent="0.25">
      <c r="I57" s="4"/>
    </row>
    <row r="58" spans="4:11" x14ac:dyDescent="0.25">
      <c r="D58" s="5"/>
      <c r="I58" s="4"/>
    </row>
    <row r="59" spans="4:11" x14ac:dyDescent="0.25">
      <c r="D59" s="5"/>
      <c r="E59" s="5"/>
      <c r="F59" s="5"/>
      <c r="G59" s="5"/>
      <c r="H59" s="5"/>
      <c r="I59" s="6"/>
      <c r="J59" s="5"/>
      <c r="K59" s="5"/>
    </row>
    <row r="60" spans="4:11" x14ac:dyDescent="0.25">
      <c r="I60" s="4"/>
    </row>
    <row r="61" spans="4:11" x14ac:dyDescent="0.25">
      <c r="I61" s="4"/>
    </row>
    <row r="62" spans="4:11" x14ac:dyDescent="0.25">
      <c r="D62" s="5"/>
      <c r="I62" s="4"/>
    </row>
    <row r="63" spans="4:11" x14ac:dyDescent="0.25">
      <c r="D63" s="5"/>
      <c r="E63" s="5"/>
      <c r="F63" s="5"/>
      <c r="G63" s="5"/>
      <c r="H63" s="5"/>
      <c r="I63" s="6"/>
      <c r="J63" s="5"/>
      <c r="K63" s="5"/>
    </row>
    <row r="64" spans="4:11" x14ac:dyDescent="0.25">
      <c r="I64" s="4"/>
    </row>
    <row r="65" spans="4:11" x14ac:dyDescent="0.25">
      <c r="I65" s="4"/>
    </row>
    <row r="66" spans="4:11" x14ac:dyDescent="0.25">
      <c r="D66" s="5"/>
      <c r="I66" s="4"/>
    </row>
    <row r="67" spans="4:11" x14ac:dyDescent="0.25">
      <c r="D67" s="5"/>
      <c r="E67" s="5"/>
      <c r="F67" s="5"/>
      <c r="G67" s="5"/>
      <c r="H67" s="5"/>
      <c r="I67" s="6"/>
      <c r="J67" s="5"/>
      <c r="K67" s="5"/>
    </row>
    <row r="68" spans="4:11" x14ac:dyDescent="0.25">
      <c r="I68" s="4"/>
    </row>
    <row r="69" spans="4:11" x14ac:dyDescent="0.25">
      <c r="I69" s="4"/>
    </row>
    <row r="70" spans="4:11" x14ac:dyDescent="0.25">
      <c r="D70" s="5"/>
      <c r="I70" s="4"/>
    </row>
    <row r="71" spans="4:11" x14ac:dyDescent="0.25">
      <c r="D71" s="5"/>
      <c r="E71" s="5"/>
      <c r="F71" s="5"/>
      <c r="G71" s="5"/>
      <c r="H71" s="5"/>
      <c r="I71" s="6"/>
      <c r="J71" s="5"/>
      <c r="K71" s="5"/>
    </row>
    <row r="72" spans="4:11" x14ac:dyDescent="0.25">
      <c r="I72" s="4"/>
    </row>
    <row r="73" spans="4:11" x14ac:dyDescent="0.25">
      <c r="I73" s="4"/>
    </row>
    <row r="74" spans="4:11" x14ac:dyDescent="0.25">
      <c r="D74" s="5"/>
      <c r="I74" s="4"/>
    </row>
    <row r="75" spans="4:11" x14ac:dyDescent="0.25">
      <c r="D75" s="5"/>
      <c r="E75" s="5"/>
      <c r="F75" s="5"/>
      <c r="G75" s="5"/>
      <c r="H75" s="5"/>
      <c r="I75" s="6"/>
      <c r="J75" s="5"/>
      <c r="K75" s="5"/>
    </row>
    <row r="76" spans="4:11" x14ac:dyDescent="0.25">
      <c r="I76" s="4"/>
    </row>
    <row r="77" spans="4:11" x14ac:dyDescent="0.25">
      <c r="I77" s="4"/>
    </row>
    <row r="78" spans="4:11" x14ac:dyDescent="0.25">
      <c r="D78" s="5"/>
      <c r="I78" s="4"/>
    </row>
    <row r="79" spans="4:11" x14ac:dyDescent="0.25">
      <c r="D79" s="5"/>
      <c r="E79" s="5"/>
      <c r="F79" s="5"/>
      <c r="G79" s="5"/>
      <c r="H79" s="5"/>
      <c r="I79" s="6"/>
      <c r="J79" s="5"/>
      <c r="K79" s="5"/>
    </row>
    <row r="80" spans="4:11" x14ac:dyDescent="0.25">
      <c r="I80" s="4"/>
    </row>
    <row r="81" spans="4:11" x14ac:dyDescent="0.25">
      <c r="I81" s="4"/>
    </row>
    <row r="82" spans="4:11" x14ac:dyDescent="0.25">
      <c r="D82" s="5"/>
      <c r="I82" s="4"/>
    </row>
    <row r="83" spans="4:11" x14ac:dyDescent="0.25">
      <c r="D83" s="5"/>
      <c r="E83" s="5"/>
      <c r="F83" s="5"/>
      <c r="G83" s="5"/>
      <c r="H83" s="5"/>
      <c r="I83" s="6"/>
      <c r="J83" s="5"/>
      <c r="K83" s="5"/>
    </row>
    <row r="84" spans="4:11" x14ac:dyDescent="0.25">
      <c r="I84" s="4"/>
    </row>
    <row r="85" spans="4:11" x14ac:dyDescent="0.25">
      <c r="I85" s="4"/>
    </row>
    <row r="86" spans="4:11" x14ac:dyDescent="0.25">
      <c r="D86" s="5"/>
      <c r="I86" s="4"/>
    </row>
    <row r="87" spans="4:11" x14ac:dyDescent="0.25">
      <c r="D87" s="5"/>
      <c r="E87" s="5"/>
      <c r="F87" s="5"/>
      <c r="G87" s="5"/>
      <c r="H87" s="5"/>
      <c r="I87" s="6"/>
      <c r="J87" s="5"/>
      <c r="K87" s="5"/>
    </row>
    <row r="88" spans="4:11" x14ac:dyDescent="0.25">
      <c r="I88" s="4"/>
    </row>
    <row r="89" spans="4:11" x14ac:dyDescent="0.25">
      <c r="I89" s="4"/>
    </row>
    <row r="90" spans="4:11" x14ac:dyDescent="0.25">
      <c r="D90" s="5"/>
      <c r="I90" s="4"/>
    </row>
    <row r="91" spans="4:11" x14ac:dyDescent="0.25">
      <c r="D91" s="5"/>
      <c r="E91" s="5"/>
      <c r="F91" s="5"/>
      <c r="G91" s="5"/>
      <c r="H91" s="5"/>
      <c r="I91" s="6"/>
      <c r="J91" s="5"/>
      <c r="K91" s="5"/>
    </row>
    <row r="92" spans="4:11" x14ac:dyDescent="0.25">
      <c r="I92" s="4"/>
    </row>
    <row r="93" spans="4:11" x14ac:dyDescent="0.25">
      <c r="I93" s="4"/>
    </row>
    <row r="94" spans="4:11" x14ac:dyDescent="0.25">
      <c r="D94" s="5"/>
      <c r="I94" s="4"/>
    </row>
    <row r="95" spans="4:11" x14ac:dyDescent="0.25">
      <c r="D95" s="5"/>
      <c r="E95" s="5"/>
      <c r="F95" s="5"/>
      <c r="G95" s="5"/>
      <c r="H95" s="5"/>
      <c r="I95" s="6"/>
      <c r="J95" s="5"/>
      <c r="K95" s="5"/>
    </row>
    <row r="96" spans="4:11" x14ac:dyDescent="0.25">
      <c r="I96" s="4"/>
    </row>
    <row r="97" spans="4:11" x14ac:dyDescent="0.25">
      <c r="I97" s="4"/>
    </row>
    <row r="98" spans="4:11" x14ac:dyDescent="0.25">
      <c r="D98" s="5"/>
      <c r="I98" s="4"/>
    </row>
    <row r="99" spans="4:11" x14ac:dyDescent="0.25">
      <c r="D99" s="5"/>
      <c r="E99" s="5"/>
      <c r="F99" s="5"/>
      <c r="G99" s="5"/>
      <c r="H99" s="5"/>
      <c r="I99" s="6"/>
      <c r="J99" s="5"/>
      <c r="K99" s="5"/>
    </row>
    <row r="100" spans="4:11" x14ac:dyDescent="0.25">
      <c r="I100" s="4"/>
    </row>
    <row r="101" spans="4:11" x14ac:dyDescent="0.25">
      <c r="I101" s="4"/>
    </row>
    <row r="102" spans="4:11" x14ac:dyDescent="0.25">
      <c r="D102" s="5"/>
      <c r="I102" s="4"/>
    </row>
    <row r="103" spans="4:11" x14ac:dyDescent="0.25">
      <c r="D103" s="5"/>
      <c r="E103" s="5"/>
      <c r="F103" s="5"/>
      <c r="G103" s="5"/>
      <c r="H103" s="5"/>
      <c r="I103" s="6"/>
      <c r="J103" s="5"/>
      <c r="K103" s="5"/>
    </row>
    <row r="104" spans="4:11" x14ac:dyDescent="0.25">
      <c r="I104" s="4"/>
    </row>
    <row r="105" spans="4:11" x14ac:dyDescent="0.25">
      <c r="I105" s="4"/>
    </row>
    <row r="106" spans="4:11" x14ac:dyDescent="0.25">
      <c r="D106" s="5"/>
      <c r="I106" s="4"/>
    </row>
    <row r="107" spans="4:11" x14ac:dyDescent="0.25">
      <c r="D107" s="5"/>
      <c r="E107" s="5"/>
      <c r="F107" s="5"/>
      <c r="G107" s="5"/>
      <c r="H107" s="5"/>
      <c r="I107" s="6"/>
      <c r="J107" s="5"/>
      <c r="K107" s="5"/>
    </row>
    <row r="108" spans="4:11" x14ac:dyDescent="0.25">
      <c r="I108" s="4"/>
    </row>
    <row r="109" spans="4:11" x14ac:dyDescent="0.25">
      <c r="I109" s="4"/>
    </row>
    <row r="110" spans="4:11" x14ac:dyDescent="0.25">
      <c r="D110" s="5"/>
      <c r="I110" s="4"/>
    </row>
    <row r="111" spans="4:11" x14ac:dyDescent="0.25">
      <c r="D111" s="5"/>
      <c r="E111" s="5"/>
      <c r="F111" s="5"/>
      <c r="G111" s="5"/>
      <c r="H111" s="5"/>
      <c r="I111" s="6"/>
      <c r="J111" s="5"/>
      <c r="K111" s="5"/>
    </row>
    <row r="112" spans="4:11" x14ac:dyDescent="0.25">
      <c r="I112" s="4"/>
    </row>
    <row r="113" spans="4:9" x14ac:dyDescent="0.25">
      <c r="I113" s="4"/>
    </row>
    <row r="114" spans="4:9" x14ac:dyDescent="0.25">
      <c r="D114" s="5"/>
      <c r="I114" s="4"/>
    </row>
  </sheetData>
  <mergeCells count="1">
    <mergeCell ref="C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erPlan">
                <anchor moveWithCells="1" sizeWithCells="1">
                  <from>
                    <xdr:col>12</xdr:col>
                    <xdr:colOff>0</xdr:colOff>
                    <xdr:row>0</xdr:row>
                    <xdr:rowOff>295275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C1:K17"/>
  <sheetViews>
    <sheetView tabSelected="1" workbookViewId="0">
      <selection activeCell="C1" sqref="C1:L18"/>
    </sheetView>
  </sheetViews>
  <sheetFormatPr baseColWidth="10" defaultRowHeight="15" x14ac:dyDescent="0.25"/>
  <sheetData>
    <row r="1" spans="3:11" ht="18.75" x14ac:dyDescent="0.3">
      <c r="D1" s="13" t="s">
        <v>17</v>
      </c>
      <c r="E1" s="13"/>
      <c r="F1" s="13"/>
      <c r="G1" s="13"/>
      <c r="H1" s="13"/>
      <c r="I1" s="13"/>
    </row>
    <row r="2" spans="3:11" ht="18.75" x14ac:dyDescent="0.3">
      <c r="D2" s="13" t="s">
        <v>28</v>
      </c>
      <c r="E2" s="13"/>
      <c r="F2" s="13"/>
      <c r="G2" s="13"/>
      <c r="H2" s="13"/>
      <c r="I2" s="13"/>
    </row>
    <row r="4" spans="3:11" x14ac:dyDescent="0.25">
      <c r="D4" t="s">
        <v>15</v>
      </c>
      <c r="F4" s="4">
        <v>40719</v>
      </c>
      <c r="H4" t="s">
        <v>16</v>
      </c>
      <c r="I4" s="4">
        <v>40713</v>
      </c>
    </row>
    <row r="5" spans="3:11" x14ac:dyDescent="0.25">
      <c r="D5" t="s">
        <v>18</v>
      </c>
      <c r="F5" t="s">
        <v>29</v>
      </c>
    </row>
    <row r="6" spans="3:11" x14ac:dyDescent="0.25">
      <c r="D6" t="s">
        <v>11</v>
      </c>
      <c r="F6">
        <v>0</v>
      </c>
    </row>
    <row r="7" spans="3:11" x14ac:dyDescent="0.25">
      <c r="D7" t="s">
        <v>19</v>
      </c>
      <c r="F7" t="s">
        <v>3</v>
      </c>
    </row>
    <row r="8" spans="3:11" x14ac:dyDescent="0.25">
      <c r="D8" t="s">
        <v>20</v>
      </c>
      <c r="F8">
        <v>5</v>
      </c>
    </row>
    <row r="10" spans="3:11" x14ac:dyDescent="0.25">
      <c r="D10" t="s">
        <v>21</v>
      </c>
      <c r="G10" t="s">
        <v>22</v>
      </c>
      <c r="J10" t="s">
        <v>30</v>
      </c>
    </row>
    <row r="11" spans="3:11" x14ac:dyDescent="0.25">
      <c r="D11" t="s">
        <v>23</v>
      </c>
      <c r="E11" t="s">
        <v>24</v>
      </c>
      <c r="F11" t="s">
        <v>25</v>
      </c>
      <c r="G11" t="s">
        <v>23</v>
      </c>
      <c r="H11" t="s">
        <v>24</v>
      </c>
      <c r="I11" t="s">
        <v>25</v>
      </c>
      <c r="J11" t="s">
        <v>26</v>
      </c>
      <c r="K11" t="s">
        <v>27</v>
      </c>
    </row>
    <row r="12" spans="3:11" x14ac:dyDescent="0.25">
      <c r="C12" s="8">
        <v>2011</v>
      </c>
      <c r="D12" s="7">
        <v>8613.3700000000008</v>
      </c>
      <c r="E12" s="9">
        <v>2261.0096250000001</v>
      </c>
      <c r="F12" s="7">
        <v>2261.0096250000001</v>
      </c>
      <c r="G12" s="7">
        <v>8613.3700000000008</v>
      </c>
      <c r="H12" s="9">
        <v>890.04823333333354</v>
      </c>
      <c r="I12" s="7">
        <v>890.04823333333354</v>
      </c>
      <c r="J12" s="9">
        <v>1370.9613916666667</v>
      </c>
      <c r="K12" s="9"/>
    </row>
    <row r="13" spans="3:11" x14ac:dyDescent="0.25">
      <c r="C13" s="8">
        <v>2012</v>
      </c>
      <c r="D13" s="7">
        <v>6352.3603750000002</v>
      </c>
      <c r="E13" s="9">
        <v>2858.5621687500002</v>
      </c>
      <c r="F13" s="7">
        <v>5119.5717937500003</v>
      </c>
      <c r="G13" s="7">
        <v>8613.3700000000008</v>
      </c>
      <c r="H13" s="9">
        <v>1722.6740000000002</v>
      </c>
      <c r="I13" s="7">
        <v>2612.7222333333339</v>
      </c>
      <c r="J13" s="9">
        <v>1135.88816875</v>
      </c>
      <c r="K13" s="9"/>
    </row>
    <row r="14" spans="3:11" x14ac:dyDescent="0.25">
      <c r="C14" s="8">
        <v>2013</v>
      </c>
      <c r="D14" s="7">
        <v>3493.7982062500005</v>
      </c>
      <c r="E14" s="9">
        <v>1572.2091928125003</v>
      </c>
      <c r="F14" s="7">
        <v>6691.7809865625004</v>
      </c>
      <c r="G14" s="7">
        <v>8613.3700000000008</v>
      </c>
      <c r="H14" s="9">
        <v>1722.6740000000002</v>
      </c>
      <c r="I14" s="7">
        <v>4335.3962333333338</v>
      </c>
      <c r="J14" s="7"/>
      <c r="K14" s="9">
        <v>150.4648071874999</v>
      </c>
    </row>
    <row r="15" spans="3:11" x14ac:dyDescent="0.25">
      <c r="C15" s="8">
        <v>2014</v>
      </c>
      <c r="D15" s="7">
        <v>1921.5890134375004</v>
      </c>
      <c r="E15" s="9">
        <v>960.7945067187502</v>
      </c>
      <c r="F15" s="7">
        <v>7652.5754932812506</v>
      </c>
      <c r="G15" s="7">
        <v>8613.3700000000008</v>
      </c>
      <c r="H15" s="9">
        <v>1722.6740000000002</v>
      </c>
      <c r="I15" s="7">
        <v>6058.0702333333338</v>
      </c>
      <c r="J15" s="7"/>
      <c r="K15" s="9">
        <v>761.87949328125001</v>
      </c>
    </row>
    <row r="16" spans="3:11" x14ac:dyDescent="0.25">
      <c r="C16" s="8">
        <v>2015</v>
      </c>
      <c r="D16" s="7">
        <v>960.7945067187502</v>
      </c>
      <c r="E16" s="9">
        <v>960.7945067187502</v>
      </c>
      <c r="F16" s="7">
        <v>8613.3700000000008</v>
      </c>
      <c r="G16" s="7">
        <v>8613.3700000000008</v>
      </c>
      <c r="H16" s="9">
        <v>1722.6740000000002</v>
      </c>
      <c r="I16" s="7">
        <v>7780.7442333333338</v>
      </c>
      <c r="J16" s="7"/>
      <c r="K16" s="9">
        <v>761.87949328125001</v>
      </c>
    </row>
    <row r="17" spans="3:11" x14ac:dyDescent="0.25">
      <c r="C17" s="8">
        <v>2016</v>
      </c>
      <c r="D17" s="7"/>
      <c r="E17" s="7"/>
      <c r="F17" s="7"/>
      <c r="G17" s="7">
        <v>8613.3700000000008</v>
      </c>
      <c r="H17" s="9">
        <v>832.62576666666666</v>
      </c>
      <c r="I17" s="7">
        <v>8613.3700000000008</v>
      </c>
      <c r="J17" s="7"/>
      <c r="K17" s="9">
        <v>832.62576666666666</v>
      </c>
    </row>
  </sheetData>
  <mergeCells count="2">
    <mergeCell ref="D1:I1"/>
    <mergeCell ref="D2:I2"/>
  </mergeCells>
  <pageMargins left="0.7" right="0.7" top="0.75" bottom="0.75" header="0.3" footer="0.3"/>
  <pageSetup paperSize="9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1:K25"/>
  <sheetViews>
    <sheetView topLeftCell="A2" workbookViewId="0">
      <selection activeCell="K26" sqref="K26"/>
    </sheetView>
  </sheetViews>
  <sheetFormatPr baseColWidth="10" defaultRowHeight="15" x14ac:dyDescent="0.25"/>
  <sheetData>
    <row r="1" spans="3:11" ht="18.75" x14ac:dyDescent="0.3">
      <c r="D1" s="13" t="s">
        <v>17</v>
      </c>
      <c r="E1" s="13"/>
      <c r="F1" s="13"/>
      <c r="G1" s="13"/>
      <c r="H1" s="13"/>
      <c r="I1" s="13"/>
    </row>
    <row r="2" spans="3:11" ht="18.75" x14ac:dyDescent="0.3">
      <c r="D2" s="13" t="s">
        <v>31</v>
      </c>
      <c r="E2" s="13"/>
      <c r="F2" s="13"/>
      <c r="G2" s="13"/>
      <c r="H2" s="13"/>
      <c r="I2" s="13"/>
    </row>
    <row r="4" spans="3:11" x14ac:dyDescent="0.25">
      <c r="D4" t="s">
        <v>15</v>
      </c>
      <c r="F4" s="4">
        <v>36617</v>
      </c>
      <c r="H4" t="s">
        <v>16</v>
      </c>
      <c r="I4" s="4">
        <v>36617</v>
      </c>
    </row>
    <row r="5" spans="3:11" x14ac:dyDescent="0.25">
      <c r="D5" t="s">
        <v>18</v>
      </c>
      <c r="F5">
        <v>1200000</v>
      </c>
    </row>
    <row r="6" spans="3:11" x14ac:dyDescent="0.25">
      <c r="D6" t="s">
        <v>11</v>
      </c>
      <c r="F6">
        <v>0</v>
      </c>
    </row>
    <row r="7" spans="3:11" x14ac:dyDescent="0.25">
      <c r="D7" t="s">
        <v>19</v>
      </c>
      <c r="F7" t="s">
        <v>3</v>
      </c>
    </row>
    <row r="8" spans="3:11" x14ac:dyDescent="0.25">
      <c r="D8" t="s">
        <v>20</v>
      </c>
      <c r="F8">
        <v>10</v>
      </c>
    </row>
    <row r="10" spans="3:11" x14ac:dyDescent="0.25">
      <c r="D10" t="s">
        <v>21</v>
      </c>
      <c r="G10" t="s">
        <v>22</v>
      </c>
      <c r="J10" t="s">
        <v>30</v>
      </c>
    </row>
    <row r="11" spans="3:11" x14ac:dyDescent="0.25">
      <c r="D11" t="s">
        <v>23</v>
      </c>
      <c r="E11" t="s">
        <v>24</v>
      </c>
      <c r="F11" t="s">
        <v>25</v>
      </c>
      <c r="G11" t="s">
        <v>23</v>
      </c>
      <c r="H11" t="s">
        <v>24</v>
      </c>
      <c r="I11" t="s">
        <v>25</v>
      </c>
      <c r="J11" t="s">
        <v>26</v>
      </c>
      <c r="K11" t="s">
        <v>27</v>
      </c>
    </row>
    <row r="12" spans="3:11" x14ac:dyDescent="0.25">
      <c r="C12" s="8">
        <v>2000</v>
      </c>
      <c r="D12" s="7">
        <v>1200000</v>
      </c>
      <c r="E12" s="9">
        <v>202500</v>
      </c>
      <c r="F12" s="7">
        <v>202500</v>
      </c>
      <c r="G12" s="7">
        <v>1200000</v>
      </c>
      <c r="H12" s="9">
        <f>+G12/12*0.75</f>
        <v>75000</v>
      </c>
      <c r="I12" s="7">
        <f>H12</f>
        <v>75000</v>
      </c>
      <c r="J12" s="9">
        <f>E12-H12</f>
        <v>127500</v>
      </c>
      <c r="K12" s="9"/>
    </row>
    <row r="13" spans="3:11" x14ac:dyDescent="0.25">
      <c r="C13" s="8">
        <v>2001</v>
      </c>
      <c r="D13" s="7">
        <v>997500</v>
      </c>
      <c r="E13" s="9">
        <v>224437.5</v>
      </c>
      <c r="F13" s="7">
        <v>426937.5</v>
      </c>
      <c r="G13" s="7">
        <v>1200000</v>
      </c>
      <c r="H13" s="9">
        <f>G13/12</f>
        <v>100000</v>
      </c>
      <c r="I13" s="7">
        <f>H13+I12</f>
        <v>175000</v>
      </c>
      <c r="J13" s="9">
        <f t="shared" ref="J13:J16" si="0">E13-H13</f>
        <v>124437.5</v>
      </c>
      <c r="K13" s="9"/>
    </row>
    <row r="14" spans="3:11" x14ac:dyDescent="0.25">
      <c r="C14" s="8">
        <v>2002</v>
      </c>
      <c r="D14" s="7">
        <v>773062.5</v>
      </c>
      <c r="E14" s="9">
        <v>173939.0625</v>
      </c>
      <c r="F14" s="7">
        <v>600876.5625</v>
      </c>
      <c r="G14" s="7">
        <v>1200000</v>
      </c>
      <c r="H14" s="9">
        <f t="shared" ref="H14:H23" si="1">G14/12</f>
        <v>100000</v>
      </c>
      <c r="I14" s="7">
        <f t="shared" ref="I14:I24" si="2">H14+I13</f>
        <v>275000</v>
      </c>
      <c r="J14" s="9">
        <f t="shared" si="0"/>
        <v>73939.0625</v>
      </c>
      <c r="K14" s="9"/>
    </row>
    <row r="15" spans="3:11" x14ac:dyDescent="0.25">
      <c r="C15" s="8">
        <v>2003</v>
      </c>
      <c r="D15" s="7">
        <v>599123.4375</v>
      </c>
      <c r="E15" s="9">
        <v>134802.7734375</v>
      </c>
      <c r="F15" s="7">
        <v>735679.3359375</v>
      </c>
      <c r="G15" s="7">
        <v>1200000</v>
      </c>
      <c r="H15" s="9">
        <f t="shared" si="1"/>
        <v>100000</v>
      </c>
      <c r="I15" s="7">
        <f t="shared" si="2"/>
        <v>375000</v>
      </c>
      <c r="J15" s="9">
        <f t="shared" si="0"/>
        <v>34802.7734375</v>
      </c>
      <c r="K15" s="9"/>
    </row>
    <row r="16" spans="3:11" x14ac:dyDescent="0.25">
      <c r="C16" s="8">
        <v>2004</v>
      </c>
      <c r="D16" s="7">
        <v>464320.6640625</v>
      </c>
      <c r="E16" s="9">
        <v>104472.1494140625</v>
      </c>
      <c r="F16" s="7">
        <v>840151.4853515625</v>
      </c>
      <c r="G16" s="7">
        <v>1200000</v>
      </c>
      <c r="H16" s="9">
        <f t="shared" si="1"/>
        <v>100000</v>
      </c>
      <c r="I16" s="7">
        <f t="shared" si="2"/>
        <v>475000</v>
      </c>
      <c r="J16" s="9">
        <f t="shared" si="0"/>
        <v>4472.1494140625</v>
      </c>
      <c r="K16" s="9"/>
    </row>
    <row r="17" spans="3:11" x14ac:dyDescent="0.25">
      <c r="C17" s="8">
        <v>2005</v>
      </c>
      <c r="D17" s="7">
        <v>359848.5146484375</v>
      </c>
      <c r="E17" s="9">
        <v>80965.915795898443</v>
      </c>
      <c r="F17" s="7">
        <v>921117.40114746091</v>
      </c>
      <c r="G17" s="7">
        <v>1200000</v>
      </c>
      <c r="H17" s="9">
        <f t="shared" si="1"/>
        <v>100000</v>
      </c>
      <c r="I17" s="7">
        <f t="shared" si="2"/>
        <v>575000</v>
      </c>
      <c r="J17" s="7"/>
      <c r="K17" s="9">
        <f>H17-E17</f>
        <v>19034.084204101557</v>
      </c>
    </row>
    <row r="18" spans="3:11" x14ac:dyDescent="0.25">
      <c r="C18" s="8">
        <v>2006</v>
      </c>
      <c r="D18" s="7">
        <v>278882.59885253909</v>
      </c>
      <c r="E18" s="9">
        <v>69720.649713134771</v>
      </c>
      <c r="F18" s="7">
        <v>990838.05086059566</v>
      </c>
      <c r="G18" s="7">
        <v>1200000</v>
      </c>
      <c r="H18" s="9">
        <f t="shared" si="1"/>
        <v>100000</v>
      </c>
      <c r="I18" s="7">
        <f t="shared" si="2"/>
        <v>675000</v>
      </c>
      <c r="J18" s="7"/>
      <c r="K18" s="9">
        <f t="shared" ref="K18:K24" si="3">H18-E18</f>
        <v>30279.350286865229</v>
      </c>
    </row>
    <row r="19" spans="3:11" x14ac:dyDescent="0.25">
      <c r="C19" s="8">
        <v>2007</v>
      </c>
      <c r="D19" s="7">
        <v>209161.94913940434</v>
      </c>
      <c r="E19" s="9">
        <v>69720.649713134786</v>
      </c>
      <c r="F19" s="7">
        <v>1060558.7005737305</v>
      </c>
      <c r="G19" s="7">
        <v>1200000</v>
      </c>
      <c r="H19" s="9">
        <f t="shared" si="1"/>
        <v>100000</v>
      </c>
      <c r="I19" s="7">
        <f t="shared" si="2"/>
        <v>775000</v>
      </c>
      <c r="J19" s="7"/>
      <c r="K19" s="9">
        <f t="shared" si="3"/>
        <v>30279.350286865214</v>
      </c>
    </row>
    <row r="20" spans="3:11" x14ac:dyDescent="0.25">
      <c r="C20" s="8">
        <v>2008</v>
      </c>
      <c r="D20" s="7">
        <v>139441.29942626948</v>
      </c>
      <c r="E20" s="9">
        <v>69720.649713134742</v>
      </c>
      <c r="F20" s="7">
        <v>1130279.3502868651</v>
      </c>
      <c r="G20" s="7">
        <v>1200000</v>
      </c>
      <c r="H20" s="9">
        <f t="shared" si="1"/>
        <v>100000</v>
      </c>
      <c r="I20" s="7">
        <f t="shared" si="2"/>
        <v>875000</v>
      </c>
      <c r="J20" s="7"/>
      <c r="K20" s="9">
        <f t="shared" si="3"/>
        <v>30279.350286865258</v>
      </c>
    </row>
    <row r="21" spans="3:11" x14ac:dyDescent="0.25">
      <c r="C21" s="8">
        <v>2009</v>
      </c>
      <c r="D21" s="7">
        <v>69720.649713134859</v>
      </c>
      <c r="E21" s="9">
        <v>69720.649713134859</v>
      </c>
      <c r="F21" s="7">
        <v>1200000</v>
      </c>
      <c r="G21" s="7">
        <v>1200000</v>
      </c>
      <c r="H21" s="9">
        <f t="shared" si="1"/>
        <v>100000</v>
      </c>
      <c r="I21" s="7">
        <f t="shared" si="2"/>
        <v>975000</v>
      </c>
      <c r="J21" s="7"/>
      <c r="K21" s="9">
        <f t="shared" si="3"/>
        <v>30279.350286865141</v>
      </c>
    </row>
    <row r="22" spans="3:11" x14ac:dyDescent="0.25">
      <c r="C22" s="8">
        <v>2010</v>
      </c>
      <c r="D22" s="7"/>
      <c r="E22" s="7"/>
      <c r="F22" s="7"/>
      <c r="G22" s="7">
        <v>1200000</v>
      </c>
      <c r="H22" s="9">
        <f t="shared" si="1"/>
        <v>100000</v>
      </c>
      <c r="I22" s="7">
        <f t="shared" si="2"/>
        <v>1075000</v>
      </c>
      <c r="J22" s="7"/>
      <c r="K22" s="9">
        <f t="shared" si="3"/>
        <v>100000</v>
      </c>
    </row>
    <row r="23" spans="3:11" x14ac:dyDescent="0.25">
      <c r="C23" s="8">
        <v>2011</v>
      </c>
      <c r="G23" s="7">
        <v>1200000</v>
      </c>
      <c r="H23" s="9">
        <f t="shared" si="1"/>
        <v>100000</v>
      </c>
      <c r="I23" s="7">
        <f t="shared" si="2"/>
        <v>1175000</v>
      </c>
      <c r="K23" s="9">
        <f t="shared" si="3"/>
        <v>100000</v>
      </c>
    </row>
    <row r="24" spans="3:11" x14ac:dyDescent="0.25">
      <c r="C24" s="8">
        <v>2012</v>
      </c>
      <c r="G24" s="7">
        <v>1200000</v>
      </c>
      <c r="H24" s="14">
        <f>H23-H12</f>
        <v>25000</v>
      </c>
      <c r="I24" s="7">
        <f t="shared" si="2"/>
        <v>1200000</v>
      </c>
      <c r="K24" s="9">
        <f t="shared" si="3"/>
        <v>25000</v>
      </c>
    </row>
    <row r="25" spans="3:11" x14ac:dyDescent="0.25">
      <c r="J25" s="14">
        <f>SUM(J12:J24)</f>
        <v>365151.4853515625</v>
      </c>
      <c r="K25" s="14">
        <f>SUM(K17:K24)</f>
        <v>365151.48535156238</v>
      </c>
    </row>
  </sheetData>
  <mergeCells count="2">
    <mergeCell ref="D1:I1"/>
    <mergeCell ref="D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Accueil</vt:lpstr>
      <vt:lpstr>ListeImmos</vt:lpstr>
      <vt:lpstr>Matériel informatique</vt:lpstr>
      <vt:lpstr>Exercice dcg</vt:lpstr>
      <vt:lpstr>'Matériel informatique'!Zone_d_impression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</dc:creator>
  <cp:lastModifiedBy>Romain</cp:lastModifiedBy>
  <cp:lastPrinted>2013-04-17T19:14:57Z</cp:lastPrinted>
  <dcterms:created xsi:type="dcterms:W3CDTF">2013-03-03T07:51:11Z</dcterms:created>
  <dcterms:modified xsi:type="dcterms:W3CDTF">2013-12-09T08:49:27Z</dcterms:modified>
</cp:coreProperties>
</file>